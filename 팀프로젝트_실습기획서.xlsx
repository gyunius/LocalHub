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CD9AD69A-F1D8-49AF-A5FA-D45F74353A43}" xr6:coauthVersionLast="47" xr6:coauthVersionMax="47" xr10:uidLastSave="{00000000-0000-0000-0000-000000000000}"/>
  <bookViews>
    <workbookView xWindow="4200" yWindow="4200" windowWidth="28800" windowHeight="15345" tabRatio="643" firstSheet="1" activeTab="2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4" l="1"/>
  <c r="G7" i="4"/>
  <c r="G8" i="4"/>
  <c r="G9" i="4"/>
  <c r="G10" i="4"/>
  <c r="G11" i="4"/>
  <c r="G13" i="4"/>
  <c r="G6" i="4"/>
</calcChain>
</file>

<file path=xl/sharedStrings.xml><?xml version="1.0" encoding="utf-8"?>
<sst xmlns="http://schemas.openxmlformats.org/spreadsheetml/2006/main" count="368" uniqueCount="283">
  <si>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</si>
  <si>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</si>
  <si>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</si>
  <si>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</si>
  <si>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</si>
  <si>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</si>
  <si>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</si>
  <si>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</si>
  <si>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</si>
  <si>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</si>
  <si>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</si>
  <si>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</si>
  <si>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</si>
  <si>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</si>
  <si>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</si>
  <si>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</si>
  <si>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</si>
  <si>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</si>
  <si>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</si>
  <si>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</si>
  <si>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</si>
  <si>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</si>
  <si>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</si>
  <si>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</si>
  <si>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</si>
  <si>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</si>
  <si>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</si>
  <si>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</si>
  <si>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</si>
  <si>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</si>
  <si>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</si>
  <si>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</si>
  <si>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</si>
  <si>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</si>
  <si>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</si>
  <si>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</si>
  <si>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</si>
  <si>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</si>
  <si>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</si>
  <si>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</si>
  <si>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</si>
  <si>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</si>
  <si>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</si>
  <si>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</si>
  <si>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</si>
  <si>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</si>
  <si>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</si>
  <si>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</si>
  <si>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</si>
  <si>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</si>
  <si>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</si>
  <si>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</si>
  <si>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</si>
  <si>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</si>
  <si>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</si>
  <si>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</si>
  <si>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</si>
  <si>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</si>
  <si>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</si>
  <si>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</si>
  <si>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</si>
  <si>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</si>
  <si>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</si>
  <si>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</si>
  <si>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</si>
  <si>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</si>
  <si>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</si>
  <si>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</si>
  <si>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</si>
  <si>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</si>
  <si>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</si>
  <si>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</si>
  <si>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</si>
  <si>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</si>
  <si>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</si>
  <si>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</si>
  <si>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</si>
  <si>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</si>
  <si>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</si>
  <si>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</si>
  <si>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</si>
  <si>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</si>
  <si>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</si>
  <si>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</si>
  <si>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</si>
  <si>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</si>
  <si>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</si>
  <si>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</si>
  <si>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</si>
  <si>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</si>
  <si>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</si>
  <si>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</si>
  <si>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</si>
  <si>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</si>
  <si>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</si>
  <si>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</si>
  <si>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</si>
  <si>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</si>
  <si>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</si>
  <si>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</si>
  <si>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</si>
  <si>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</si>
  <si>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</si>
  <si>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</si>
  <si>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</si>
  <si>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6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</si>
  <si>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6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</si>
  <si>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6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</si>
  <si>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6" type="noConversion"/>
  </si>
  <si>
    <t>ChatGPT</t>
    <phoneticPr fontId="16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</si>
  <si>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6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</si>
  <si>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6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</si>
  <si>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6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</si>
  <si>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</si>
  <si>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6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</si>
  <si>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</si>
  <si>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</si>
  <si>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</si>
  <si>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</si>
  <si>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</si>
  <si>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</si>
  <si>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6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</si>
  <si>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6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</si>
  <si>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6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</si>
  <si>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6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</si>
  <si>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6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</si>
  <si>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6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</si>
  <si>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6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</si>
  <si>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6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</si>
  <si>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6" type="noConversion"/>
  </si>
  <si>
    <t>대분류 (범례)</t>
    <phoneticPr fontId="16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</si>
  <si>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6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</si>
  <si>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6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</si>
  <si>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6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</si>
  <si>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</si>
  <si>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</si>
  <si>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6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</si>
  <si>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6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</si>
  <si>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6" type="noConversion"/>
  </si>
  <si>
    <t>Must</t>
  </si>
  <si>
    <t>Must</t>
    <phoneticPr fontId="16" type="noConversion"/>
  </si>
  <si>
    <t>익명 커뮤니티</t>
  </si>
  <si>
    <t>게시글 작성</t>
  </si>
  <si>
    <t>회원가입·로그인·사용자 인증·권한 체계 없이 구현</t>
  </si>
  <si>
    <t>III 커뮤니티 가</t>
  </si>
  <si>
    <t>관리자·사용자 계정 기능도 범위에서 제외</t>
  </si>
  <si>
    <t>제목·내용·수정용 비밀번호 입력 및 DB 저장</t>
  </si>
  <si>
    <t>III 커뮤니티 나</t>
  </si>
  <si>
    <t>교육 목적에 따라 비밀번호 평문 저장</t>
  </si>
  <si>
    <t>수정·삭제 권한 확인</t>
  </si>
  <si>
    <t>등록 비밀번호 일치 여부로만 수정·삭제 허용</t>
  </si>
  <si>
    <t>불일치 시 오류 메시지 제공</t>
  </si>
  <si>
    <t>게시판 CRUD API</t>
  </si>
  <si>
    <t>목록·상세·작성·수정·삭제 FastAPI REST API 구현</t>
  </si>
  <si>
    <t>III 커뮤니티 다</t>
  </si>
  <si>
    <t>최소 API 명세와 오류 응답 정의</t>
  </si>
  <si>
    <t>게시판 Vue 화면</t>
  </si>
  <si>
    <t>목록·상세·작성·수정 화면과 비밀번호 확인 UI 구현</t>
  </si>
  <si>
    <t>pagination은 기본 형태로 구현</t>
  </si>
  <si>
    <t>커뮤니티 DB 저장</t>
  </si>
  <si>
    <t>게시글 등 커뮤니티 데이터를 SQLite에 저장</t>
  </si>
  <si>
    <t>III 커뮤니티 라</t>
  </si>
  <si>
    <t>챗봇 API</t>
  </si>
  <si>
    <t>III 챗봇 가</t>
  </si>
  <si>
    <t>OpenAI API Key는 백엔드에서만 사용</t>
  </si>
  <si>
    <t>초기 데이터 포함 .db 제출</t>
  </si>
  <si>
    <t>POST /api/chat 구현</t>
  </si>
  <si>
    <t>개발도구 준수</t>
  </si>
  <si>
    <t>VSCode Copilot + OpenAI API Key 조합만 사용</t>
  </si>
  <si>
    <t>III AI 정책</t>
  </si>
  <si>
    <t>Codex·Claude Code·Cursor 등 사용 금지</t>
  </si>
  <si>
    <t>Should</t>
  </si>
  <si>
    <t>Could</t>
  </si>
  <si>
    <t>게시글 검색</t>
  </si>
  <si>
    <t>제목·내용 keyword 검색, 검색 결과 목록 표시</t>
  </si>
  <si>
    <t>Must 개발과 동시에 구현 가능</t>
  </si>
  <si>
    <t>지도 시각화</t>
  </si>
  <si>
    <t>관광지·맛집 데이터를 지도 pin과 popup으로 표시</t>
  </si>
  <si>
    <t>조회수</t>
  </si>
  <si>
    <t>상세 조회 시 조회수 증가 및 목록 표시</t>
  </si>
  <si>
    <t>Won't</t>
  </si>
  <si>
    <r>
      <t>JSON</t>
    </r>
    <r>
      <rPr>
        <sz val="10"/>
        <color rgb="FF222222"/>
        <rFont val="돋움"/>
        <family val="3"/>
        <charset val="129"/>
      </rPr>
      <t>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좌표가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없으면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제외</t>
    </r>
  </si>
  <si>
    <r>
      <t xml:space="preserve">DB migration </t>
    </r>
    <r>
      <rPr>
        <sz val="10"/>
        <color rgb="FF222222"/>
        <rFont val="돋움"/>
        <family val="3"/>
        <charset val="129"/>
      </rPr>
      <t>문제가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생기면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제외</t>
    </r>
    <r>
      <rPr>
        <sz val="10"/>
        <color rgb="FF222222"/>
        <rFont val="Noto Sans CJK SC"/>
        <family val="2"/>
      </rPr>
      <t xml:space="preserve"> </t>
    </r>
  </si>
  <si>
    <t>축제 캘린더</t>
  </si>
  <si>
    <r>
      <t>JSON</t>
    </r>
    <r>
      <rPr>
        <sz val="10"/>
        <color rgb="FF222222"/>
        <rFont val="돋움"/>
        <family val="3"/>
        <charset val="129"/>
      </rPr>
      <t>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축제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일정을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월간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캘린더에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표시</t>
    </r>
  </si>
  <si>
    <r>
      <t>RFP</t>
    </r>
    <r>
      <rPr>
        <sz val="10"/>
        <color rgb="FF222222"/>
        <rFont val="돋움"/>
        <family val="3"/>
        <charset val="129"/>
      </rPr>
      <t>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익명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무인증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조건과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충돌</t>
    </r>
  </si>
  <si>
    <t>실제 도로 경로</t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</si>
  <si>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Noto Sans CJK SC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6" type="noConversion"/>
  </si>
  <si>
    <r>
      <rPr>
        <sz val="10"/>
        <color rgb="FF222222"/>
        <rFont val="Arial"/>
        <family val="2"/>
      </rPr>
      <t>제약</t>
    </r>
  </si>
  <si>
    <r>
      <rPr>
        <sz val="10"/>
        <color rgb="FF222222"/>
        <rFont val="돋움"/>
        <family val="3"/>
        <charset val="129"/>
      </rPr>
      <t>좋아요</t>
    </r>
  </si>
  <si>
    <r>
      <rPr>
        <sz val="10"/>
        <color rgb="FF222222"/>
        <rFont val="돋움"/>
        <family val="3"/>
        <charset val="129"/>
      </rPr>
      <t>게시글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좋아요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표시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브라우저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단위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중복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방지</t>
    </r>
  </si>
  <si>
    <r>
      <rPr>
        <sz val="10"/>
        <color rgb="FF222222"/>
        <rFont val="돋움"/>
        <family val="3"/>
        <charset val="129"/>
      </rPr>
      <t>축제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캘린더</t>
    </r>
  </si>
  <si>
    <r>
      <rPr>
        <sz val="10"/>
        <color rgb="FF222222"/>
        <rFont val="돋움"/>
        <family val="3"/>
        <charset val="129"/>
      </rPr>
      <t>링크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복사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공유</t>
    </r>
  </si>
  <si>
    <r>
      <rPr>
        <sz val="10"/>
        <color rgb="FF222222"/>
        <rFont val="돋움"/>
        <family val="3"/>
        <charset val="129"/>
      </rPr>
      <t>현재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게시글</t>
    </r>
    <r>
      <rPr>
        <sz val="10"/>
        <color rgb="FF222222"/>
        <rFont val="Noto Sans CJK SC"/>
        <family val="2"/>
      </rPr>
      <t xml:space="preserve"> URL clipboard </t>
    </r>
    <r>
      <rPr>
        <sz val="10"/>
        <color rgb="FF222222"/>
        <rFont val="돋움"/>
        <family val="3"/>
        <charset val="129"/>
      </rPr>
      <t>복사</t>
    </r>
    <phoneticPr fontId="16" type="noConversion"/>
  </si>
  <si>
    <r>
      <rPr>
        <sz val="10"/>
        <color rgb="FF222222"/>
        <rFont val="돋움"/>
        <family val="3"/>
        <charset val="129"/>
      </rPr>
      <t>태그</t>
    </r>
  </si>
  <si>
    <r>
      <rPr>
        <sz val="10"/>
        <color rgb="FF222222"/>
        <rFont val="돋움"/>
        <family val="3"/>
        <charset val="129"/>
      </rPr>
      <t>게시글에</t>
    </r>
    <r>
      <rPr>
        <sz val="10"/>
        <color rgb="FF222222"/>
        <rFont val="Noto Sans CJK SC"/>
        <family val="2"/>
      </rPr>
      <t xml:space="preserve"> 1~3</t>
    </r>
    <r>
      <rPr>
        <sz val="10"/>
        <color rgb="FF222222"/>
        <rFont val="돋움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태그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등록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태그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검색</t>
    </r>
  </si>
  <si>
    <r>
      <rPr>
        <sz val="10"/>
        <color rgb="FF222222"/>
        <rFont val="돋움"/>
        <family val="3"/>
        <charset val="129"/>
      </rPr>
      <t>회원가입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로그인</t>
    </r>
  </si>
  <si>
    <r>
      <rPr>
        <sz val="10"/>
        <color rgb="FF222222"/>
        <rFont val="돋움"/>
        <family val="3"/>
        <charset val="129"/>
      </rPr>
      <t>계정</t>
    </r>
    <r>
      <rPr>
        <sz val="10"/>
        <color rgb="FF222222"/>
        <rFont val="Noto Sans CJK SC"/>
        <family val="2"/>
      </rPr>
      <t xml:space="preserve">, JWT, OAuth, </t>
    </r>
    <r>
      <rPr>
        <sz val="10"/>
        <color rgb="FF222222"/>
        <rFont val="돋움"/>
        <family val="3"/>
        <charset val="129"/>
      </rPr>
      <t>사용자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프로필</t>
    </r>
    <phoneticPr fontId="16" type="noConversion"/>
  </si>
  <si>
    <r>
      <rPr>
        <sz val="10"/>
        <color rgb="FF222222"/>
        <rFont val="돋움"/>
        <family val="3"/>
        <charset val="129"/>
      </rPr>
      <t>전체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코스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중개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플랫폼</t>
    </r>
    <phoneticPr fontId="16" type="noConversion"/>
  </si>
  <si>
    <r>
      <rPr>
        <sz val="10"/>
        <color rgb="FF222222"/>
        <rFont val="돋움"/>
        <family val="3"/>
        <charset val="129"/>
      </rPr>
      <t>요청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등록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→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→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채택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→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이용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리뷰</t>
    </r>
  </si>
  <si>
    <r>
      <rPr>
        <sz val="10"/>
        <color rgb="FF222222"/>
        <rFont val="돋움"/>
        <family val="3"/>
        <charset val="129"/>
      </rPr>
      <t>새로운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사용자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흐름과</t>
    </r>
    <r>
      <rPr>
        <sz val="10"/>
        <color rgb="FF222222"/>
        <rFont val="Noto Sans CJK SC"/>
        <family val="2"/>
      </rPr>
      <t xml:space="preserve"> DB</t>
    </r>
    <r>
      <rPr>
        <sz val="10"/>
        <color rgb="FF222222"/>
        <rFont val="돋움"/>
        <family val="3"/>
        <charset val="129"/>
      </rPr>
      <t>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다수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</t>
    </r>
  </si>
  <si>
    <r>
      <rPr>
        <sz val="10"/>
        <color rgb="FF222222"/>
        <rFont val="돋움"/>
        <family val="3"/>
        <charset val="129"/>
      </rPr>
      <t>실제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도로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경로</t>
    </r>
  </si>
  <si>
    <r>
      <rPr>
        <sz val="10"/>
        <color rgb="FF222222"/>
        <rFont val="돋움"/>
        <family val="3"/>
        <charset val="129"/>
      </rPr>
      <t>자동차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길찾기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거리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시간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계산</t>
    </r>
  </si>
  <si>
    <r>
      <rPr>
        <sz val="10"/>
        <color rgb="FF222222"/>
        <rFont val="돋움"/>
        <family val="3"/>
        <charset val="129"/>
      </rPr>
      <t>외부</t>
    </r>
    <r>
      <rPr>
        <sz val="10"/>
        <color rgb="FF222222"/>
        <rFont val="Noto Sans CJK SC"/>
        <family val="2"/>
      </rPr>
      <t xml:space="preserve"> Directions API</t>
    </r>
    <r>
      <rPr>
        <sz val="10"/>
        <color rgb="FF222222"/>
        <rFont val="돋움"/>
        <family val="3"/>
        <charset val="129"/>
      </rPr>
      <t>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경유지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예외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처리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</t>
    </r>
  </si>
  <si>
    <r>
      <t xml:space="preserve">LocalHub </t>
    </r>
    <r>
      <rPr>
        <b/>
        <sz val="10"/>
        <color rgb="FFFFFFFF"/>
        <rFont val="Arial"/>
        <family val="2"/>
      </rPr>
      <t>요구사항</t>
    </r>
    <r>
      <rPr>
        <b/>
        <sz val="10"/>
        <color rgb="FFFFFFFF"/>
        <rFont val="Noto Sans CJK SC"/>
        <family val="2"/>
      </rPr>
      <t xml:space="preserve"> </t>
    </r>
    <r>
      <rPr>
        <b/>
        <sz val="10"/>
        <color rgb="FFFFFFFF"/>
        <rFont val="Arial"/>
        <family val="2"/>
      </rPr>
      <t>분석</t>
    </r>
    <r>
      <rPr>
        <b/>
        <sz val="10"/>
        <color rgb="FFFFFFFF"/>
        <rFont val="Noto Sans CJK SC"/>
        <family val="2"/>
      </rPr>
      <t xml:space="preserve"> (MoSCoW)</t>
    </r>
  </si>
  <si>
    <r>
      <t>MoSCoW</t>
    </r>
    <r>
      <rPr>
        <sz val="10"/>
        <color rgb="FF222222"/>
        <rFont val="맑은 고딕"/>
        <family val="3"/>
        <charset val="129"/>
      </rPr>
      <t>란</t>
    </r>
    <r>
      <rPr>
        <sz val="10"/>
        <color rgb="FF222222"/>
        <rFont val="Noto Sans CJK SC"/>
        <family val="2"/>
      </rPr>
      <t xml:space="preserve">? </t>
    </r>
    <r>
      <rPr>
        <sz val="10"/>
        <color rgb="FF222222"/>
        <rFont val="맑은 고딕"/>
        <family val="3"/>
        <charset val="129"/>
      </rPr>
      <t>요구사항을</t>
    </r>
    <r>
      <rPr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Noto Sans CJK SC"/>
        <family val="2"/>
      </rPr>
      <t>Must(</t>
    </r>
    <r>
      <rPr>
        <b/>
        <sz val="10"/>
        <color rgb="FF222222"/>
        <rFont val="맑은 고딕"/>
        <family val="3"/>
        <charset val="129"/>
      </rPr>
      <t>반드시</t>
    </r>
    <r>
      <rPr>
        <b/>
        <sz val="10"/>
        <color rgb="FF222222"/>
        <rFont val="Noto Sans CJK SC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Noto Sans CJK SC"/>
        <family val="2"/>
      </rPr>
      <t>)/Could(</t>
    </r>
    <r>
      <rPr>
        <b/>
        <sz val="10"/>
        <color rgb="FF222222"/>
        <rFont val="맑은 고딕"/>
        <family val="3"/>
        <charset val="129"/>
      </rPr>
      <t>있으면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좋음</t>
    </r>
    <r>
      <rPr>
        <b/>
        <sz val="10"/>
        <color rgb="FF222222"/>
        <rFont val="Noto Sans CJK SC"/>
        <family val="2"/>
      </rPr>
      <t>)/Won't(</t>
    </r>
    <r>
      <rPr>
        <b/>
        <sz val="10"/>
        <color rgb="FF222222"/>
        <rFont val="맑은 고딕"/>
        <family val="3"/>
        <charset val="129"/>
      </rPr>
      <t>이번엔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Noto Sans CJK SC"/>
        <family val="2"/>
      </rPr>
      <t>)</t>
    </r>
    <r>
      <rPr>
        <b/>
        <sz val="10"/>
        <color rgb="FF222222"/>
        <rFont val="맑은 고딕"/>
        <family val="3"/>
        <charset val="129"/>
      </rPr>
      <t>로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나눠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우선순위를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정하는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방법</t>
    </r>
    <r>
      <rPr>
        <sz val="10"/>
        <color rgb="FF222222"/>
        <rFont val="맑은 고딕"/>
        <family val="3"/>
        <charset val="129"/>
      </rPr>
      <t>입니다</t>
    </r>
    <r>
      <rPr>
        <sz val="10"/>
        <color rgb="FF222222"/>
        <rFont val="Noto Sans CJK SC"/>
        <family val="2"/>
      </rPr>
      <t>.</t>
    </r>
    <phoneticPr fontId="16" type="noConversion"/>
  </si>
  <si>
    <r>
      <t xml:space="preserve">III </t>
    </r>
    <r>
      <rPr>
        <sz val="10"/>
        <color rgb="FF222222"/>
        <rFont val="돋움"/>
        <family val="3"/>
        <charset val="129"/>
      </rPr>
      <t>커뮤니티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가</t>
    </r>
    <phoneticPr fontId="16" type="noConversion"/>
  </si>
  <si>
    <r>
      <t xml:space="preserve">DB </t>
    </r>
    <r>
      <rPr>
        <sz val="10"/>
        <color rgb="FF222222"/>
        <rFont val="돋움"/>
        <family val="3"/>
        <charset val="129"/>
      </rPr>
      <t>변경이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필요하면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제외</t>
    </r>
  </si>
  <si>
    <r>
      <rPr>
        <sz val="10"/>
        <color rgb="FF222222"/>
        <rFont val="돋움"/>
        <family val="3"/>
        <charset val="129"/>
      </rPr>
      <t>여유가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있을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</t>
    </r>
  </si>
  <si>
    <r>
      <rPr>
        <sz val="10"/>
        <color rgb="FF222222"/>
        <rFont val="돋움"/>
        <family val="3"/>
        <charset val="129"/>
      </rPr>
      <t>날짜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결정</t>
    </r>
  </si>
  <si>
    <r>
      <rPr>
        <sz val="10"/>
        <color rgb="FF222222"/>
        <rFont val="돋움"/>
        <family val="3"/>
        <charset val="129"/>
      </rPr>
      <t>구현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비용이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낮아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우선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고려</t>
    </r>
  </si>
  <si>
    <r>
      <rPr>
        <sz val="10"/>
        <color rgb="FF222222"/>
        <rFont val="돋움"/>
        <family val="3"/>
        <charset val="129"/>
      </rPr>
      <t>직접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근거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없음</t>
    </r>
    <r>
      <rPr>
        <sz val="10"/>
        <color rgb="FF222222"/>
        <rFont val="Noto Sans CJK SC"/>
        <family val="2"/>
      </rPr>
      <t>(</t>
    </r>
    <r>
      <rPr>
        <sz val="10"/>
        <color rgb="FF222222"/>
        <rFont val="돋움"/>
        <family val="3"/>
        <charset val="129"/>
      </rPr>
      <t>범위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외</t>
    </r>
    <r>
      <rPr>
        <sz val="10"/>
        <color rgb="FF222222"/>
        <rFont val="Noto Sans CJK SC"/>
        <family val="2"/>
      </rPr>
      <t>)</t>
    </r>
  </si>
  <si>
    <t>구현난이도 (1~5)</t>
  </si>
  <si>
    <t>실현가능성 (1~5)</t>
  </si>
  <si>
    <t>임팩트 (1~5)</t>
  </si>
  <si>
    <t>종합점수</t>
  </si>
  <si>
    <t>지도 기반 관광지 탐색</t>
  </si>
  <si>
    <t>관광지·맛집을 pin과 popup으로 표시</t>
  </si>
  <si>
    <t>관광 코스 만들기</t>
  </si>
  <si>
    <t>pin을 선택해 방문 순서 구성</t>
  </si>
  <si>
    <t>코스 게시글 공유</t>
  </si>
  <si>
    <t>만든 코스를 익명 게시글로 공유</t>
  </si>
  <si>
    <t>댓글 기능</t>
  </si>
  <si>
    <t>공유된 코스에 의견 작성</t>
  </si>
  <si>
    <t>축제 일정을 월간 달력으로 표시</t>
  </si>
  <si>
    <t>도보·자동차 길찾기와 시간 계산</t>
  </si>
  <si>
    <t>코스 중개 플랫폼</t>
  </si>
  <si>
    <r>
      <rPr>
        <sz val="10"/>
        <color rgb="FF222222"/>
        <rFont val="맑은 고딕"/>
        <family val="3"/>
        <charset val="129"/>
      </rPr>
      <t>요청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제안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채택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리뷰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제공</t>
    </r>
    <phoneticPr fontId="16" type="noConversion"/>
  </si>
  <si>
    <t>선정</t>
    <phoneticPr fontId="16" type="noConversion"/>
  </si>
  <si>
    <t>보류</t>
    <phoneticPr fontId="16" type="noConversion"/>
  </si>
  <si>
    <t>제외</t>
    <phoneticPr fontId="16" type="noConversion"/>
  </si>
  <si>
    <t>관광지를 방문 순서로 구성하고 다른 사람과 공유하기 어려움</t>
  </si>
  <si>
    <t>지역 여행객과 관광 코스를 공유하려는 사용자</t>
  </si>
  <si>
    <t>관광지 선택→코스 저장→게시글 공유→댓글 작성 완료, Must 기능 100% 동작</t>
  </si>
  <si>
    <r>
      <rPr>
        <sz val="10"/>
        <color rgb="FF222222"/>
        <rFont val="맑은 고딕"/>
        <family val="2"/>
        <charset val="129"/>
      </rPr>
      <t>관광지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맛집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지도</t>
    </r>
    <r>
      <rPr>
        <sz val="10"/>
        <color rgb="FF222222"/>
        <rFont val="Arial"/>
        <family val="2"/>
      </rPr>
      <t xml:space="preserve"> pin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popup </t>
    </r>
    <r>
      <rPr>
        <sz val="10"/>
        <color rgb="FF222222"/>
        <rFont val="맑은 고딕"/>
        <family val="2"/>
        <charset val="129"/>
      </rPr>
      <t>표시</t>
    </r>
    <phoneticPr fontId="16" type="noConversion"/>
  </si>
  <si>
    <r>
      <rPr>
        <sz val="10"/>
        <color rgb="FF222222"/>
        <rFont val="맑은 고딕"/>
        <family val="2"/>
        <charset val="129"/>
      </rPr>
      <t>관광지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선택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순서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설정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코스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공유</t>
    </r>
    <phoneticPr fontId="16" type="noConversion"/>
  </si>
  <si>
    <r>
      <rPr>
        <sz val="10"/>
        <color rgb="FF222222"/>
        <rFont val="맑은 고딕"/>
        <family val="2"/>
        <charset val="129"/>
      </rPr>
      <t>공유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코스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댓글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작성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삭제</t>
    </r>
    <phoneticPr fontId="16" type="noConversion"/>
  </si>
  <si>
    <r>
      <rPr>
        <sz val="10"/>
        <color rgb="FF222222"/>
        <rFont val="맑은 고딕"/>
        <family val="2"/>
        <charset val="129"/>
      </rPr>
      <t>회원가입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로그인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프로필</t>
    </r>
    <phoneticPr fontId="16" type="noConversion"/>
  </si>
  <si>
    <r>
      <rPr>
        <sz val="10"/>
        <color rgb="FF222222"/>
        <rFont val="맑은 고딕"/>
        <family val="2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도로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길찾기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거리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시간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계산</t>
    </r>
    <phoneticPr fontId="16" type="noConversion"/>
  </si>
  <si>
    <r>
      <rPr>
        <sz val="10"/>
        <color rgb="FF222222"/>
        <rFont val="맑은 고딕"/>
        <family val="2"/>
        <charset val="129"/>
      </rPr>
      <t>코스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요청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제안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채택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중개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플랫폼</t>
    </r>
    <phoneticPr fontId="16" type="noConversion"/>
  </si>
  <si>
    <t>시작(Day)</t>
  </si>
  <si>
    <t>종료(Day)</t>
  </si>
  <si>
    <t>진행률(%)</t>
  </si>
  <si>
    <t>Day 1</t>
  </si>
  <si>
    <t>Day 2</t>
  </si>
  <si>
    <t>Day 3</t>
  </si>
  <si>
    <t>RFP 분석 및 MVP 범위 확정</t>
  </si>
  <si>
    <t>팀전체</t>
  </si>
  <si>
    <t>Day1</t>
  </si>
  <si>
    <t>예정</t>
  </si>
  <si>
    <t>대상 권역·데이터·역할·WBS 확정</t>
  </si>
  <si>
    <t>화면 구성 및 사용자 흐름 설계</t>
  </si>
  <si>
    <t>FE</t>
  </si>
  <si>
    <t>API·DB·코스·댓글 구조 설계</t>
  </si>
  <si>
    <t>BE</t>
  </si>
  <si>
    <t>Vue·FastAPI 프로젝트 및 공통 환경 구성</t>
  </si>
  <si>
    <t>Day2</t>
  </si>
  <si>
    <t>익명 게시판 CRUD 구현</t>
  </si>
  <si>
    <t>관광지 지도 pin 및 코스 생성 UI 구현</t>
  </si>
  <si>
    <t>코스·댓글·검색·조회수 API 구현</t>
  </si>
  <si>
    <t>지역정보 챗봇 API 및 플로팅 UI 구현</t>
  </si>
  <si>
    <t>Netlify·Render 배포 및 환경변수 설정</t>
  </si>
  <si>
    <t>Day3</t>
  </si>
  <si>
    <t>CRUD·코스·댓글·챗봇 E2E 테스트</t>
  </si>
  <si>
    <t>기능 명세서·데이터 출처·README·WBS 작성</t>
  </si>
  <si>
    <t>발표자료 및 시연 데이터 작성</t>
  </si>
  <si>
    <t>최종 리허설·산출물 점검·제출</t>
  </si>
  <si>
    <t>완료</t>
  </si>
  <si>
    <t>진행중</t>
  </si>
  <si>
    <r>
      <rPr>
        <sz val="11"/>
        <color theme="1"/>
        <rFont val="맑은 고딕"/>
        <family val="2"/>
        <charset val="129"/>
      </rPr>
      <t>관광지를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지도</t>
    </r>
    <r>
      <rPr>
        <sz val="11"/>
        <color theme="1"/>
        <rFont val="Calibri"/>
        <family val="2"/>
      </rPr>
      <t xml:space="preserve"> pin</t>
    </r>
    <r>
      <rPr>
        <sz val="11"/>
        <color theme="1"/>
        <rFont val="맑은 고딕"/>
        <family val="2"/>
        <charset val="129"/>
      </rPr>
      <t>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탐색하고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원하는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장소를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순서대로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구성해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익명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게시글과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댓글로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공유하는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기능을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선정하였다</t>
    </r>
    <r>
      <rPr>
        <sz val="11"/>
        <color theme="1"/>
        <rFont val="Calibri"/>
        <family val="2"/>
      </rPr>
      <t xml:space="preserve">. AI </t>
    </r>
    <r>
      <rPr>
        <sz val="11"/>
        <color theme="1"/>
        <rFont val="맑은 고딕"/>
        <family val="2"/>
        <charset val="129"/>
      </rPr>
      <t>관광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챗봇은</t>
    </r>
    <r>
      <rPr>
        <sz val="11"/>
        <color theme="1"/>
        <rFont val="Calibri"/>
        <family val="2"/>
      </rPr>
      <t xml:space="preserve"> RFP </t>
    </r>
    <r>
      <rPr>
        <sz val="11"/>
        <color theme="1"/>
        <rFont val="맑은 고딕"/>
        <family val="2"/>
        <charset val="129"/>
      </rPr>
      <t>필수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기능으로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함께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포함하며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실제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길찾기와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코스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중개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플랫폼은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제외하였다</t>
    </r>
    <r>
      <rPr>
        <sz val="11"/>
        <color theme="1"/>
        <rFont val="Calibri"/>
        <family val="2"/>
      </rPr>
      <t>.</t>
    </r>
    <phoneticPr fontId="16" type="noConversion"/>
  </si>
  <si>
    <t>IV 참고 2 커뮤니티 게시판 추가기능</t>
  </si>
  <si>
    <t>IV 참고 2 지도 시각화</t>
  </si>
  <si>
    <r>
      <t xml:space="preserve">IV </t>
    </r>
    <r>
      <rPr>
        <sz val="10"/>
        <color rgb="FF222222"/>
        <rFont val="맑은 고딕"/>
        <family val="3"/>
        <charset val="129"/>
      </rPr>
      <t>참고</t>
    </r>
    <r>
      <rPr>
        <sz val="10"/>
        <color rgb="FF222222"/>
        <rFont val="Arial"/>
        <family val="2"/>
      </rPr>
      <t xml:space="preserve"> 2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게시판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추가기능</t>
    </r>
    <phoneticPr fontId="16" type="noConversion"/>
  </si>
  <si>
    <t>IV 참고 2 축제 캘린더</t>
  </si>
  <si>
    <t>IV 참고 2 소셜 공유 연동</t>
  </si>
  <si>
    <r>
      <rPr>
        <sz val="10"/>
        <color rgb="FF222222"/>
        <rFont val="맑은 고딕"/>
        <family val="2"/>
        <charset val="129"/>
      </rPr>
      <t>서울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권역</t>
    </r>
    <r>
      <rPr>
        <sz val="10"/>
        <color rgb="FF222222"/>
        <rFont val="Arial"/>
        <family val="2"/>
      </rPr>
      <t xml:space="preserve"> JSON </t>
    </r>
    <r>
      <rPr>
        <sz val="10"/>
        <color rgb="FF222222"/>
        <rFont val="맑은 고딕"/>
        <family val="2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익명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게시판</t>
    </r>
    <r>
      <rPr>
        <sz val="10"/>
        <color rgb="FF222222"/>
        <rFont val="Arial"/>
        <family val="2"/>
      </rPr>
      <t xml:space="preserve"> CRUD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비밀번호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권한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확인</t>
    </r>
    <phoneticPr fontId="16" type="noConversion"/>
  </si>
  <si>
    <r>
      <rPr>
        <sz val="10"/>
        <color rgb="FF222222"/>
        <rFont val="Arial"/>
        <family val="2"/>
      </rPr>
      <t xml:space="preserve">POST /api/chat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대화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히스토리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모바일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플로팅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채팅</t>
    </r>
    <r>
      <rPr>
        <sz val="10"/>
        <color rgb="FF222222"/>
        <rFont val="Arial"/>
        <family val="2"/>
      </rPr>
      <t xml:space="preserve"> UI</t>
    </r>
    <phoneticPr fontId="16" type="noConversion"/>
  </si>
  <si>
    <r>
      <t xml:space="preserve">Vue.js 3 SPA / FastAPI + SQLAlchemy + SQLite </t>
    </r>
    <r>
      <rPr>
        <sz val="10"/>
        <color rgb="FF222222"/>
        <rFont val="맑은 고딕"/>
        <family val="2"/>
        <charset val="129"/>
      </rPr>
      <t>구현</t>
    </r>
    <phoneticPr fontId="16" type="noConversion"/>
  </si>
  <si>
    <r>
      <t xml:space="preserve">.env·.gitignore </t>
    </r>
    <r>
      <rPr>
        <sz val="10"/>
        <color rgb="FF222222"/>
        <rFont val="맑은 고딕"/>
        <family val="2"/>
        <charset val="129"/>
      </rPr>
      <t>보안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관리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Netlify·Render </t>
    </r>
    <r>
      <rPr>
        <sz val="10"/>
        <color rgb="FF222222"/>
        <rFont val="맑은 고딕"/>
        <family val="2"/>
        <charset val="129"/>
      </rPr>
      <t>배포</t>
    </r>
    <phoneticPr fontId="16" type="noConversion"/>
  </si>
  <si>
    <r>
      <rPr>
        <sz val="10"/>
        <color rgb="FF222222"/>
        <rFont val="맑은 고딕"/>
        <family val="2"/>
        <charset val="129"/>
      </rPr>
      <t>초기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데이터</t>
    </r>
    <r>
      <rPr>
        <sz val="10"/>
        <color rgb="FF222222"/>
        <rFont val="Arial"/>
        <family val="2"/>
      </rPr>
      <t xml:space="preserve"> DB·</t>
    </r>
    <r>
      <rPr>
        <sz val="10"/>
        <color rgb="FF222222"/>
        <rFont val="맑은 고딕"/>
        <family val="2"/>
        <charset val="129"/>
      </rPr>
      <t>기능명세서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출처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라이선스</t>
    </r>
    <r>
      <rPr>
        <sz val="10"/>
        <color rgb="FF222222"/>
        <rFont val="Arial"/>
        <family val="2"/>
      </rPr>
      <t xml:space="preserve">·WBS·PPT </t>
    </r>
    <r>
      <rPr>
        <sz val="10"/>
        <color rgb="FF222222"/>
        <rFont val="맑은 고딕"/>
        <family val="2"/>
        <charset val="129"/>
      </rPr>
      <t>제출</t>
    </r>
    <phoneticPr fontId="16" type="noConversion"/>
  </si>
  <si>
    <t>서울</t>
    <phoneticPr fontId="16" type="noConversion"/>
  </si>
  <si>
    <t>게시글 검색·조회수</t>
  </si>
  <si>
    <t>제목·내용 검색 및 상세 조회수 표시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</si>
</sst>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3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29"/>
    </font>
    <font>
      <sz val="10"/>
      <color rgb="FF222222"/>
      <name val="돋움"/>
      <family val="3"/>
      <charset val="129"/>
    </font>
    <font>
      <sz val="11"/>
      <color theme="1"/>
      <name val="Calibri"/>
      <family val="2"/>
    </font>
    <font>
      <b/>
      <sz val="10"/>
      <color rgb="FFFFFFFF"/>
      <name val="Noto Sans CJK SC"/>
    </font>
    <font>
      <sz val="10"/>
      <color theme="1"/>
      <name val="Noto Sans CJK SC"/>
      <family val="2"/>
    </font>
    <font>
      <sz val="10"/>
      <color rgb="FF222222"/>
      <name val="Arial"/>
      <family val="3"/>
      <charset val="129"/>
    </font>
    <font>
      <sz val="10"/>
      <color rgb="FF222222"/>
      <name val="Arial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30" fillId="16" borderId="1" xfId="0" applyFont="1" applyFill="1" applyBorder="1" applyAlignment="1">
      <alignment horizontal="center" vertical="center" wrapText="1"/>
    </xf>
    <xf numFmtId="176" fontId="32" fillId="16" borderId="1" xfId="0" applyNumberFormat="1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5" fillId="0" borderId="0" xfId="0" applyFont="1"/>
    <xf numFmtId="0" fontId="0" fillId="0" borderId="0" xfId="0"/>
    <xf numFmtId="0" fontId="41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1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39" fillId="2" borderId="0" xfId="0" applyFont="1" applyFill="1" applyAlignment="1">
      <alignment horizontal="left" vertical="center" indent="1"/>
    </xf>
    <xf numFmtId="0" fontId="40" fillId="0" borderId="0" xfId="0" applyFont="1"/>
    <xf numFmtId="0" fontId="2" fillId="0" borderId="1" xfId="0" applyFont="1" applyBorder="1" applyAlignment="1">
      <alignment horizontal="left" vertical="center" wrapText="1"/>
    </xf>
    <xf numFmtId="0" fontId="40" fillId="0" borderId="4" xfId="0" applyFont="1" applyBorder="1"/>
    <xf numFmtId="0" fontId="40" fillId="0" borderId="3" xfId="0" applyFont="1" applyBorder="1"/>
    <xf numFmtId="0" fontId="1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36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2" fillId="0" borderId="2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inden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 indent="1"/>
    </xf>
    <xf numFmtId="0" fontId="22" fillId="3" borderId="5" xfId="0" applyFont="1" applyFill="1" applyBorder="1" applyAlignment="1">
      <alignment horizontal="center"/>
    </xf>
    <xf numFmtId="0" fontId="22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</cellXfs>
  <cellStyles count="1">
    <cellStyle name="표준" xfId="0" builtinId="0"/>
  </cellStyles>
  <dxfs count="3">
    <dxf>
      <fill>
        <patternFill patternType="solid">
          <fgColor rgb="FF028090"/>
          <bgColor rgb="FF028090"/>
        </patternFill>
      </fill>
    </dxf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44" t="s">
        <v>105</v>
      </c>
      <c r="C2" s="44"/>
    </row>
    <row r="4" spans="2:3" ht="19.5" customHeight="1">
      <c r="B4" s="14" t="s">
        <v>106</v>
      </c>
      <c r="C4" s="15" t="s">
        <v>107</v>
      </c>
    </row>
    <row r="5" spans="2:3" ht="36.950000000000003" customHeight="1">
      <c r="B5" s="1" t="s">
        <v>0</v>
      </c>
      <c r="C5" s="15" t="s">
        <v>108</v>
      </c>
    </row>
    <row r="6" spans="2:3" ht="19.5" customHeight="1">
      <c r="B6" s="1" t="s">
        <v>1</v>
      </c>
      <c r="C6" s="3" t="s">
        <v>109</v>
      </c>
    </row>
    <row r="7" spans="2:3" ht="19.5" customHeight="1">
      <c r="B7" s="1" t="s">
        <v>2</v>
      </c>
      <c r="C7" s="3" t="s">
        <v>110</v>
      </c>
    </row>
    <row r="9" spans="2:3" ht="15" customHeight="1">
      <c r="B9" s="40" t="s">
        <v>111</v>
      </c>
      <c r="C9" s="41"/>
    </row>
    <row r="10" spans="2:3" ht="27">
      <c r="B10" s="4" t="s">
        <v>3</v>
      </c>
      <c r="C10" s="15" t="s">
        <v>112</v>
      </c>
    </row>
    <row r="11" spans="2:3" ht="40.5">
      <c r="B11" s="4" t="s">
        <v>113</v>
      </c>
      <c r="C11" s="15" t="s">
        <v>114</v>
      </c>
    </row>
    <row r="12" spans="2:3" ht="33.75" customHeight="1">
      <c r="B12" s="4" t="s">
        <v>115</v>
      </c>
      <c r="C12" s="2" t="s">
        <v>116</v>
      </c>
    </row>
    <row r="13" spans="2:3" ht="33.75" customHeight="1">
      <c r="B13" s="4" t="s">
        <v>117</v>
      </c>
      <c r="C13" s="3" t="s">
        <v>118</v>
      </c>
    </row>
    <row r="14" spans="2:3" ht="33.75" customHeight="1">
      <c r="B14" s="4" t="s">
        <v>119</v>
      </c>
      <c r="C14" s="2" t="s">
        <v>120</v>
      </c>
    </row>
    <row r="15" spans="2:3" ht="33.75" customHeight="1">
      <c r="B15" s="4" t="s">
        <v>4</v>
      </c>
      <c r="C15" s="15" t="s">
        <v>121</v>
      </c>
    </row>
    <row r="17" spans="2:3" ht="15" customHeight="1">
      <c r="B17" s="42" t="s">
        <v>5</v>
      </c>
      <c r="C17" s="43"/>
    </row>
    <row r="18" spans="2:3" ht="27.75" customHeight="1">
      <c r="B18" s="45" t="s">
        <v>122</v>
      </c>
      <c r="C18" s="46"/>
    </row>
    <row r="19" spans="2:3" ht="27.75" customHeight="1">
      <c r="B19" s="38" t="s">
        <v>7</v>
      </c>
      <c r="C19" s="39"/>
    </row>
    <row r="20" spans="2:3" ht="27.75" customHeight="1">
      <c r="B20" s="38" t="s">
        <v>8</v>
      </c>
      <c r="C20" s="39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Normal="100" workbookViewId="0">
      <selection activeCell="A7" sqref="A7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49" t="s">
        <v>9</v>
      </c>
      <c r="C2" s="50"/>
      <c r="D2" s="50"/>
      <c r="E2" s="50"/>
      <c r="F2" s="50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2" t="s">
        <v>134</v>
      </c>
      <c r="C5" s="23" t="s">
        <v>15</v>
      </c>
      <c r="D5" s="15" t="s">
        <v>131</v>
      </c>
      <c r="E5" s="24" t="s">
        <v>132</v>
      </c>
      <c r="F5" s="23" t="s">
        <v>16</v>
      </c>
    </row>
    <row r="6" spans="2:10" ht="129.75" customHeight="1">
      <c r="B6" s="22" t="s">
        <v>135</v>
      </c>
      <c r="C6" s="23" t="s">
        <v>17</v>
      </c>
      <c r="D6" s="15" t="s">
        <v>138</v>
      </c>
      <c r="E6" s="23" t="s">
        <v>18</v>
      </c>
      <c r="F6" s="23" t="s">
        <v>19</v>
      </c>
    </row>
    <row r="7" spans="2:10" ht="129.75" customHeight="1">
      <c r="B7" s="22" t="s">
        <v>20</v>
      </c>
      <c r="C7" s="5" t="s">
        <v>21</v>
      </c>
      <c r="D7" s="21" t="s">
        <v>137</v>
      </c>
      <c r="E7" s="5" t="s">
        <v>22</v>
      </c>
      <c r="F7" s="5" t="s">
        <v>23</v>
      </c>
      <c r="J7" s="26"/>
    </row>
    <row r="8" spans="2:10" ht="129.75" customHeight="1">
      <c r="B8" s="25" t="s">
        <v>136</v>
      </c>
      <c r="C8" s="5" t="s">
        <v>24</v>
      </c>
      <c r="D8" s="15" t="s">
        <v>133</v>
      </c>
      <c r="E8" s="23" t="s">
        <v>25</v>
      </c>
      <c r="F8" s="5" t="s">
        <v>26</v>
      </c>
    </row>
    <row r="9" spans="2:10" ht="14.1" customHeight="1"/>
    <row r="10" spans="2:10" ht="15" customHeight="1">
      <c r="B10" s="51" t="s">
        <v>123</v>
      </c>
      <c r="C10" s="48"/>
      <c r="D10" s="48"/>
      <c r="E10" s="48"/>
      <c r="F10" s="41"/>
    </row>
    <row r="11" spans="2:10" ht="24" customHeight="1">
      <c r="B11" s="5" t="s">
        <v>6</v>
      </c>
      <c r="C11" s="47" t="s">
        <v>124</v>
      </c>
      <c r="D11" s="48"/>
      <c r="E11" s="48"/>
      <c r="F11" s="48"/>
    </row>
    <row r="12" spans="2:10" ht="24" customHeight="1">
      <c r="B12" s="5" t="s">
        <v>6</v>
      </c>
      <c r="C12" s="47" t="s">
        <v>125</v>
      </c>
      <c r="D12" s="48"/>
      <c r="E12" s="48"/>
      <c r="F12" s="48"/>
    </row>
    <row r="13" spans="2:10" ht="24" customHeight="1">
      <c r="B13" s="5" t="s">
        <v>6</v>
      </c>
      <c r="C13" s="47" t="s">
        <v>126</v>
      </c>
      <c r="D13" s="48"/>
      <c r="E13" s="48"/>
      <c r="F13" s="48"/>
    </row>
  </sheetData>
  <mergeCells count="5">
    <mergeCell ref="C13:F13"/>
    <mergeCell ref="B2:F2"/>
    <mergeCell ref="B10:F10"/>
    <mergeCell ref="C11:F11"/>
    <mergeCell ref="C12:F12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H23"/>
  <sheetViews>
    <sheetView showGridLines="0" tabSelected="1" topLeftCell="B10" zoomScaleNormal="100" workbookViewId="0">
      <selection activeCell="M19" sqref="M19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8" ht="30" customHeight="1">
      <c r="B2" s="52" t="s">
        <v>204</v>
      </c>
      <c r="C2" s="53"/>
      <c r="D2" s="53"/>
      <c r="E2" s="53"/>
      <c r="F2" s="53"/>
    </row>
    <row r="3" spans="2:8" ht="28.35" customHeight="1">
      <c r="B3" s="54" t="s">
        <v>205</v>
      </c>
      <c r="C3" s="55"/>
      <c r="D3" s="55"/>
      <c r="E3" s="55"/>
      <c r="F3" s="56"/>
    </row>
    <row r="4" spans="2:8" ht="35.65" customHeight="1">
      <c r="B4" s="8" t="s">
        <v>27</v>
      </c>
      <c r="C4" s="8" t="s">
        <v>28</v>
      </c>
      <c r="D4" s="8" t="s">
        <v>29</v>
      </c>
      <c r="E4" s="8" t="s">
        <v>187</v>
      </c>
      <c r="F4" s="8" t="s">
        <v>30</v>
      </c>
    </row>
    <row r="5" spans="2:8" ht="15" customHeight="1">
      <c r="B5" s="9" t="s">
        <v>31</v>
      </c>
      <c r="C5" s="9"/>
      <c r="D5" s="9"/>
      <c r="E5" s="9"/>
      <c r="F5" s="9"/>
    </row>
    <row r="6" spans="2:8" ht="30" customHeight="1">
      <c r="B6" s="2" t="s">
        <v>140</v>
      </c>
      <c r="C6" s="2" t="s">
        <v>141</v>
      </c>
      <c r="D6" s="2" t="s">
        <v>143</v>
      </c>
      <c r="E6" s="2" t="s">
        <v>144</v>
      </c>
      <c r="F6" s="2" t="s">
        <v>145</v>
      </c>
      <c r="H6" s="27"/>
    </row>
    <row r="7" spans="2:8" ht="30" customHeight="1">
      <c r="B7" s="2" t="s">
        <v>139</v>
      </c>
      <c r="C7" s="2" t="s">
        <v>142</v>
      </c>
      <c r="D7" s="2" t="s">
        <v>146</v>
      </c>
      <c r="E7" s="2" t="s">
        <v>147</v>
      </c>
      <c r="F7" s="2" t="s">
        <v>148</v>
      </c>
    </row>
    <row r="8" spans="2:8" ht="30" customHeight="1">
      <c r="B8" s="2" t="s">
        <v>139</v>
      </c>
      <c r="C8" s="2" t="s">
        <v>149</v>
      </c>
      <c r="D8" s="2" t="s">
        <v>150</v>
      </c>
      <c r="E8" s="2" t="s">
        <v>147</v>
      </c>
      <c r="F8" s="2" t="s">
        <v>151</v>
      </c>
    </row>
    <row r="9" spans="2:8" ht="30" customHeight="1">
      <c r="B9" s="2" t="s">
        <v>139</v>
      </c>
      <c r="C9" s="2" t="s">
        <v>152</v>
      </c>
      <c r="D9" s="2" t="s">
        <v>153</v>
      </c>
      <c r="E9" s="2" t="s">
        <v>154</v>
      </c>
      <c r="F9" s="2" t="s">
        <v>155</v>
      </c>
    </row>
    <row r="10" spans="2:8" ht="30" customHeight="1">
      <c r="B10" s="2" t="s">
        <v>139</v>
      </c>
      <c r="C10" s="2" t="s">
        <v>156</v>
      </c>
      <c r="D10" s="2" t="s">
        <v>157</v>
      </c>
      <c r="E10" s="2" t="s">
        <v>154</v>
      </c>
      <c r="F10" s="2" t="s">
        <v>158</v>
      </c>
    </row>
    <row r="11" spans="2:8" ht="30" customHeight="1">
      <c r="B11" s="2" t="s">
        <v>139</v>
      </c>
      <c r="C11" s="2" t="s">
        <v>159</v>
      </c>
      <c r="D11" s="2" t="s">
        <v>160</v>
      </c>
      <c r="E11" s="2" t="s">
        <v>161</v>
      </c>
      <c r="F11" s="2" t="s">
        <v>165</v>
      </c>
    </row>
    <row r="12" spans="2:8" ht="30" customHeight="1">
      <c r="B12" s="2" t="s">
        <v>139</v>
      </c>
      <c r="C12" s="2" t="s">
        <v>162</v>
      </c>
      <c r="D12" s="2" t="s">
        <v>166</v>
      </c>
      <c r="E12" s="2" t="s">
        <v>163</v>
      </c>
      <c r="F12" s="2" t="s">
        <v>164</v>
      </c>
      <c r="H12" s="27"/>
    </row>
    <row r="13" spans="2:8" ht="30" customHeight="1">
      <c r="B13" s="2" t="s">
        <v>188</v>
      </c>
      <c r="C13" s="2" t="s">
        <v>167</v>
      </c>
      <c r="D13" s="2" t="s">
        <v>168</v>
      </c>
      <c r="E13" s="2" t="s">
        <v>169</v>
      </c>
      <c r="F13" s="2" t="s">
        <v>170</v>
      </c>
    </row>
    <row r="14" spans="2:8" ht="30" customHeight="1">
      <c r="B14" s="2" t="s">
        <v>171</v>
      </c>
      <c r="C14" s="2" t="s">
        <v>173</v>
      </c>
      <c r="D14" s="2" t="s">
        <v>174</v>
      </c>
      <c r="E14" s="2" t="s">
        <v>270</v>
      </c>
      <c r="F14" s="2" t="s">
        <v>175</v>
      </c>
    </row>
    <row r="15" spans="2:8" ht="30" customHeight="1">
      <c r="B15" s="2" t="s">
        <v>171</v>
      </c>
      <c r="C15" s="2" t="s">
        <v>176</v>
      </c>
      <c r="D15" s="2" t="s">
        <v>177</v>
      </c>
      <c r="E15" s="2" t="s">
        <v>271</v>
      </c>
      <c r="F15" s="2" t="s">
        <v>181</v>
      </c>
    </row>
    <row r="16" spans="2:8" ht="30" customHeight="1">
      <c r="B16" s="2" t="s">
        <v>171</v>
      </c>
      <c r="C16" s="2" t="s">
        <v>178</v>
      </c>
      <c r="D16" s="2" t="s">
        <v>179</v>
      </c>
      <c r="E16" s="2" t="s">
        <v>270</v>
      </c>
      <c r="F16" s="2" t="s">
        <v>182</v>
      </c>
    </row>
    <row r="17" spans="2:6" ht="30" customHeight="1">
      <c r="B17" s="2" t="s">
        <v>172</v>
      </c>
      <c r="C17" s="2" t="s">
        <v>189</v>
      </c>
      <c r="D17" s="2" t="s">
        <v>190</v>
      </c>
      <c r="E17" s="2" t="s">
        <v>272</v>
      </c>
      <c r="F17" s="2" t="s">
        <v>208</v>
      </c>
    </row>
    <row r="18" spans="2:6" ht="30" customHeight="1">
      <c r="B18" s="2" t="s">
        <v>172</v>
      </c>
      <c r="C18" s="2" t="s">
        <v>191</v>
      </c>
      <c r="D18" s="2" t="s">
        <v>184</v>
      </c>
      <c r="E18" s="2" t="s">
        <v>273</v>
      </c>
      <c r="F18" s="2" t="s">
        <v>209</v>
      </c>
    </row>
    <row r="19" spans="2:6" ht="30" customHeight="1">
      <c r="B19" s="2" t="s">
        <v>172</v>
      </c>
      <c r="C19" s="2" t="s">
        <v>192</v>
      </c>
      <c r="D19" s="2" t="s">
        <v>193</v>
      </c>
      <c r="E19" s="2" t="s">
        <v>274</v>
      </c>
      <c r="F19" s="2" t="s">
        <v>210</v>
      </c>
    </row>
    <row r="20" spans="2:6" ht="30" customHeight="1">
      <c r="B20" s="2" t="s">
        <v>172</v>
      </c>
      <c r="C20" s="2" t="s">
        <v>194</v>
      </c>
      <c r="D20" s="2" t="s">
        <v>195</v>
      </c>
      <c r="E20" s="2" t="s">
        <v>270</v>
      </c>
      <c r="F20" s="2" t="s">
        <v>207</v>
      </c>
    </row>
    <row r="21" spans="2:6" ht="30" customHeight="1">
      <c r="B21" s="2" t="s">
        <v>180</v>
      </c>
      <c r="C21" s="2" t="s">
        <v>196</v>
      </c>
      <c r="D21" s="2" t="s">
        <v>197</v>
      </c>
      <c r="E21" s="2" t="s">
        <v>206</v>
      </c>
      <c r="F21" s="2" t="s">
        <v>185</v>
      </c>
    </row>
    <row r="22" spans="2:6" ht="30" customHeight="1">
      <c r="B22" s="2" t="s">
        <v>180</v>
      </c>
      <c r="C22" s="2" t="s">
        <v>198</v>
      </c>
      <c r="D22" s="2" t="s">
        <v>199</v>
      </c>
      <c r="E22" s="2" t="s">
        <v>211</v>
      </c>
      <c r="F22" s="2" t="s">
        <v>200</v>
      </c>
    </row>
    <row r="23" spans="2:6" ht="30" customHeight="1">
      <c r="B23" s="2" t="s">
        <v>180</v>
      </c>
      <c r="C23" s="2" t="s">
        <v>201</v>
      </c>
      <c r="D23" s="2" t="s">
        <v>202</v>
      </c>
      <c r="E23" s="2" t="s">
        <v>211</v>
      </c>
      <c r="F23" s="2" t="s">
        <v>203</v>
      </c>
    </row>
  </sheetData>
  <mergeCells count="2">
    <mergeCell ref="B2:F2"/>
    <mergeCell ref="B3:F3"/>
  </mergeCells>
  <phoneticPr fontId="16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5"/>
  <sheetViews>
    <sheetView showGridLines="0" zoomScaleNormal="100" workbookViewId="0">
      <selection activeCell="D13" sqref="D13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49" t="s">
        <v>32</v>
      </c>
      <c r="C2" s="50"/>
      <c r="D2" s="50"/>
      <c r="E2" s="50"/>
      <c r="F2" s="50"/>
      <c r="G2" s="50"/>
      <c r="H2" s="50"/>
    </row>
    <row r="3" spans="2:8" ht="72.400000000000006" customHeight="1">
      <c r="B3" s="57" t="s">
        <v>128</v>
      </c>
      <c r="C3" s="48"/>
      <c r="D3" s="48"/>
      <c r="E3" s="48"/>
      <c r="F3" s="48"/>
      <c r="G3" s="48"/>
      <c r="H3" s="41"/>
    </row>
    <row r="4" spans="2:8" ht="18" customHeight="1">
      <c r="B4" s="58" t="s">
        <v>33</v>
      </c>
      <c r="C4" s="48"/>
      <c r="D4" s="48"/>
      <c r="E4" s="48"/>
      <c r="F4" s="48"/>
      <c r="G4" s="48"/>
      <c r="H4" s="41"/>
    </row>
    <row r="5" spans="2:8" ht="31.5" customHeight="1">
      <c r="B5" s="10" t="s">
        <v>34</v>
      </c>
      <c r="C5" s="10" t="s">
        <v>35</v>
      </c>
      <c r="D5" s="17" t="s">
        <v>212</v>
      </c>
      <c r="E5" s="11" t="s">
        <v>213</v>
      </c>
      <c r="F5" s="11" t="s">
        <v>214</v>
      </c>
      <c r="G5" s="10" t="s">
        <v>215</v>
      </c>
      <c r="H5" s="11" t="s">
        <v>36</v>
      </c>
    </row>
    <row r="6" spans="2:8" ht="33.75" customHeight="1">
      <c r="B6" s="12" t="s">
        <v>216</v>
      </c>
      <c r="C6" s="3" t="s">
        <v>217</v>
      </c>
      <c r="D6" s="5">
        <v>3</v>
      </c>
      <c r="E6" s="5">
        <v>5</v>
      </c>
      <c r="F6" s="5">
        <v>4</v>
      </c>
      <c r="G6" s="5">
        <f>E6*F6*2</f>
        <v>40</v>
      </c>
      <c r="H6" s="29" t="s">
        <v>228</v>
      </c>
    </row>
    <row r="7" spans="2:8" ht="33.75" customHeight="1">
      <c r="B7" s="12" t="s">
        <v>218</v>
      </c>
      <c r="C7" s="3" t="s">
        <v>219</v>
      </c>
      <c r="D7" s="5">
        <v>3</v>
      </c>
      <c r="E7" s="5">
        <v>5</v>
      </c>
      <c r="F7" s="5">
        <v>5</v>
      </c>
      <c r="G7" s="5">
        <f t="shared" ref="G7:G13" si="0">E7*F7*2</f>
        <v>50</v>
      </c>
      <c r="H7" s="29" t="s">
        <v>228</v>
      </c>
    </row>
    <row r="8" spans="2:8" ht="33.75" customHeight="1">
      <c r="B8" s="12" t="s">
        <v>220</v>
      </c>
      <c r="C8" s="3" t="s">
        <v>221</v>
      </c>
      <c r="D8" s="5">
        <v>2</v>
      </c>
      <c r="E8" s="5">
        <v>5</v>
      </c>
      <c r="F8" s="5">
        <v>5</v>
      </c>
      <c r="G8" s="5">
        <f t="shared" si="0"/>
        <v>50</v>
      </c>
      <c r="H8" s="29" t="s">
        <v>228</v>
      </c>
    </row>
    <row r="9" spans="2:8" ht="33.75" customHeight="1">
      <c r="B9" s="12" t="s">
        <v>222</v>
      </c>
      <c r="C9" s="2" t="s">
        <v>223</v>
      </c>
      <c r="D9" s="5">
        <v>2</v>
      </c>
      <c r="E9" s="5">
        <v>5</v>
      </c>
      <c r="F9" s="5">
        <v>4</v>
      </c>
      <c r="G9" s="5">
        <f t="shared" si="0"/>
        <v>40</v>
      </c>
      <c r="H9" s="29" t="s">
        <v>228</v>
      </c>
    </row>
    <row r="10" spans="2:8" ht="33.75" customHeight="1">
      <c r="B10" s="12" t="s">
        <v>183</v>
      </c>
      <c r="C10" s="2" t="s">
        <v>224</v>
      </c>
      <c r="D10" s="5">
        <v>2</v>
      </c>
      <c r="E10" s="5">
        <v>4</v>
      </c>
      <c r="F10" s="5">
        <v>3</v>
      </c>
      <c r="G10" s="5">
        <f t="shared" si="0"/>
        <v>24</v>
      </c>
      <c r="H10" s="29" t="s">
        <v>229</v>
      </c>
    </row>
    <row r="11" spans="2:8" ht="33.75" customHeight="1">
      <c r="B11" s="12" t="s">
        <v>186</v>
      </c>
      <c r="C11" s="3" t="s">
        <v>225</v>
      </c>
      <c r="D11" s="5">
        <v>5</v>
      </c>
      <c r="E11" s="5">
        <v>2</v>
      </c>
      <c r="F11" s="5">
        <v>4</v>
      </c>
      <c r="G11" s="5">
        <f t="shared" si="0"/>
        <v>16</v>
      </c>
      <c r="H11" s="29" t="s">
        <v>230</v>
      </c>
    </row>
    <row r="12" spans="2:8" ht="33.75" customHeight="1">
      <c r="B12" s="12" t="s">
        <v>226</v>
      </c>
      <c r="C12" s="28" t="s">
        <v>227</v>
      </c>
      <c r="D12" s="5">
        <v>5</v>
      </c>
      <c r="E12" s="5">
        <v>2</v>
      </c>
      <c r="F12" s="5">
        <v>4</v>
      </c>
      <c r="G12" s="5">
        <f t="shared" si="0"/>
        <v>16</v>
      </c>
      <c r="H12" s="29" t="s">
        <v>230</v>
      </c>
    </row>
    <row r="13" spans="2:8" ht="33.75" customHeight="1">
      <c r="B13" s="12" t="s">
        <v>281</v>
      </c>
      <c r="C13" s="2" t="s">
        <v>282</v>
      </c>
      <c r="D13" s="5">
        <v>2</v>
      </c>
      <c r="E13" s="5">
        <v>5</v>
      </c>
      <c r="F13" s="5">
        <v>4</v>
      </c>
      <c r="G13" s="5">
        <f t="shared" si="0"/>
        <v>40</v>
      </c>
      <c r="H13" s="29" t="s">
        <v>228</v>
      </c>
    </row>
    <row r="15" spans="2:8" ht="118.7" customHeight="1">
      <c r="B15" s="16" t="s">
        <v>127</v>
      </c>
      <c r="C15" s="59" t="s">
        <v>269</v>
      </c>
      <c r="D15" s="60"/>
      <c r="E15" s="60"/>
      <c r="F15" s="60"/>
      <c r="G15" s="60"/>
      <c r="H15" s="61"/>
    </row>
  </sheetData>
  <mergeCells count="4">
    <mergeCell ref="B3:H3"/>
    <mergeCell ref="B2:H2"/>
    <mergeCell ref="B4:H4"/>
    <mergeCell ref="C15:H15"/>
  </mergeCells>
  <phoneticPr fontId="16" type="noConversion"/>
  <conditionalFormatting sqref="G6:G13">
    <cfRule type="expression" dxfId="2" priority="2">
      <formula>AND(G6&lt;&gt;"",G6&gt;=32)</formula>
    </cfRule>
  </conditionalFormatting>
  <dataValidations count="2">
    <dataValidation type="list" allowBlank="1" sqref="E6:F13" xr:uid="{00000000-0002-0000-0300-000000000000}">
      <formula1>"1,2,3,4,5"</formula1>
      <formula2>0</formula2>
    </dataValidation>
    <dataValidation type="list" allowBlank="1" sqref="H6:H13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4"/>
  <sheetViews>
    <sheetView showGridLines="0" zoomScaleNormal="100" workbookViewId="0">
      <selection activeCell="B13" sqref="B13:C13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70" t="s">
        <v>37</v>
      </c>
      <c r="C2" s="50"/>
    </row>
    <row r="3" spans="2:3" ht="18" customHeight="1">
      <c r="B3" s="69" t="s">
        <v>38</v>
      </c>
      <c r="C3" s="41"/>
    </row>
    <row r="4" spans="2:3" ht="30" customHeight="1">
      <c r="B4" s="1" t="s">
        <v>39</v>
      </c>
      <c r="C4" s="21" t="s">
        <v>280</v>
      </c>
    </row>
    <row r="5" spans="2:3" ht="30" customHeight="1">
      <c r="B5" s="1" t="s">
        <v>40</v>
      </c>
      <c r="C5" s="2" t="s">
        <v>231</v>
      </c>
    </row>
    <row r="6" spans="2:3" ht="30" customHeight="1">
      <c r="B6" s="1" t="s">
        <v>41</v>
      </c>
      <c r="C6" s="2" t="s">
        <v>232</v>
      </c>
    </row>
    <row r="7" spans="2:3" ht="30" customHeight="1">
      <c r="B7" s="1" t="s">
        <v>42</v>
      </c>
      <c r="C7" s="2" t="s">
        <v>233</v>
      </c>
    </row>
    <row r="9" spans="2:3" ht="15" customHeight="1">
      <c r="B9" s="67" t="s">
        <v>43</v>
      </c>
      <c r="C9" s="68"/>
    </row>
    <row r="10" spans="2:3" ht="25.5" customHeight="1">
      <c r="B10" s="62" t="s">
        <v>275</v>
      </c>
      <c r="C10" s="46"/>
    </row>
    <row r="11" spans="2:3" ht="25.5" customHeight="1">
      <c r="B11" s="62" t="s">
        <v>276</v>
      </c>
      <c r="C11" s="46"/>
    </row>
    <row r="12" spans="2:3" ht="25.5" customHeight="1">
      <c r="B12" s="45" t="s">
        <v>277</v>
      </c>
      <c r="C12" s="46"/>
    </row>
    <row r="13" spans="2:3" ht="25.5" customHeight="1">
      <c r="B13" s="45" t="s">
        <v>278</v>
      </c>
      <c r="C13" s="46"/>
    </row>
    <row r="14" spans="2:3" ht="25.5" customHeight="1">
      <c r="B14" s="62" t="s">
        <v>279</v>
      </c>
      <c r="C14" s="46"/>
    </row>
    <row r="16" spans="2:3" ht="15" customHeight="1">
      <c r="B16" s="65" t="s">
        <v>44</v>
      </c>
      <c r="C16" s="66"/>
    </row>
    <row r="17" spans="2:3" ht="25.5" customHeight="1">
      <c r="B17" s="62" t="s">
        <v>234</v>
      </c>
      <c r="C17" s="46"/>
    </row>
    <row r="18" spans="2:3" ht="25.5" customHeight="1">
      <c r="B18" s="62" t="s">
        <v>235</v>
      </c>
      <c r="C18" s="46"/>
    </row>
    <row r="19" spans="2:3" ht="25.5" customHeight="1">
      <c r="B19" s="62" t="s">
        <v>236</v>
      </c>
      <c r="C19" s="46"/>
    </row>
    <row r="21" spans="2:3" ht="15" customHeight="1">
      <c r="B21" s="63" t="s">
        <v>45</v>
      </c>
      <c r="C21" s="64"/>
    </row>
    <row r="22" spans="2:3" ht="25.5" customHeight="1">
      <c r="B22" s="62" t="s">
        <v>237</v>
      </c>
      <c r="C22" s="46"/>
    </row>
    <row r="23" spans="2:3" ht="25.5" customHeight="1">
      <c r="B23" s="62" t="s">
        <v>238</v>
      </c>
      <c r="C23" s="46"/>
    </row>
    <row r="24" spans="2:3" ht="25.5" customHeight="1">
      <c r="B24" s="62" t="s">
        <v>239</v>
      </c>
      <c r="C24" s="46"/>
    </row>
  </sheetData>
  <mergeCells count="16">
    <mergeCell ref="B9:C9"/>
    <mergeCell ref="B22:C22"/>
    <mergeCell ref="B23:C23"/>
    <mergeCell ref="B3:C3"/>
    <mergeCell ref="B2:C2"/>
    <mergeCell ref="B10:C10"/>
    <mergeCell ref="B11:C11"/>
    <mergeCell ref="B12:C12"/>
    <mergeCell ref="B24:C24"/>
    <mergeCell ref="B13:C13"/>
    <mergeCell ref="B14:C14"/>
    <mergeCell ref="B17:C17"/>
    <mergeCell ref="B18:C18"/>
    <mergeCell ref="B19:C19"/>
    <mergeCell ref="B21:C21"/>
    <mergeCell ref="B16:C16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zoomScaleNormal="100" workbookViewId="0">
      <selection activeCell="H36" sqref="H36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84" t="s">
        <v>46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2:13" ht="79.7" customHeight="1">
      <c r="B3" s="83" t="s">
        <v>129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1"/>
    </row>
    <row r="4" spans="2:13" ht="25.5" customHeight="1">
      <c r="B4" s="13" t="s">
        <v>47</v>
      </c>
      <c r="C4" s="11" t="s">
        <v>48</v>
      </c>
      <c r="D4" s="11" t="s">
        <v>49</v>
      </c>
      <c r="E4" s="11" t="s">
        <v>50</v>
      </c>
      <c r="F4" s="20" t="s">
        <v>240</v>
      </c>
      <c r="G4" s="20" t="s">
        <v>241</v>
      </c>
      <c r="H4" s="17" t="s">
        <v>51</v>
      </c>
      <c r="I4" s="19" t="s">
        <v>242</v>
      </c>
      <c r="J4" s="11" t="s">
        <v>52</v>
      </c>
      <c r="K4" s="18" t="s">
        <v>243</v>
      </c>
      <c r="L4" s="18" t="s">
        <v>244</v>
      </c>
      <c r="M4" s="18" t="s">
        <v>245</v>
      </c>
    </row>
    <row r="5" spans="2:13" ht="30" customHeight="1">
      <c r="B5" s="5">
        <v>1</v>
      </c>
      <c r="C5" s="30" t="s">
        <v>53</v>
      </c>
      <c r="D5" s="2" t="s">
        <v>246</v>
      </c>
      <c r="E5" s="5" t="s">
        <v>247</v>
      </c>
      <c r="F5" s="5" t="s">
        <v>248</v>
      </c>
      <c r="G5" s="5" t="s">
        <v>248</v>
      </c>
      <c r="H5" s="5">
        <v>1</v>
      </c>
      <c r="I5" s="5">
        <v>100</v>
      </c>
      <c r="J5" s="5" t="s">
        <v>267</v>
      </c>
      <c r="K5" s="37"/>
      <c r="L5" s="3"/>
      <c r="M5" s="3"/>
    </row>
    <row r="6" spans="2:13" ht="30" customHeight="1">
      <c r="B6" s="5">
        <v>2</v>
      </c>
      <c r="C6" s="30" t="s">
        <v>53</v>
      </c>
      <c r="D6" s="2" t="s">
        <v>250</v>
      </c>
      <c r="E6" s="5" t="s">
        <v>247</v>
      </c>
      <c r="F6" s="5" t="s">
        <v>248</v>
      </c>
      <c r="G6" s="5" t="s">
        <v>248</v>
      </c>
      <c r="H6" s="5">
        <v>1</v>
      </c>
      <c r="I6" s="5">
        <v>100</v>
      </c>
      <c r="J6" s="5" t="s">
        <v>267</v>
      </c>
      <c r="K6" s="37"/>
      <c r="L6" s="3"/>
      <c r="M6" s="3"/>
    </row>
    <row r="7" spans="2:13" ht="30" customHeight="1">
      <c r="B7" s="5">
        <v>3</v>
      </c>
      <c r="C7" s="31" t="s">
        <v>54</v>
      </c>
      <c r="D7" s="2" t="s">
        <v>251</v>
      </c>
      <c r="E7" s="5" t="s">
        <v>252</v>
      </c>
      <c r="F7" s="5" t="s">
        <v>248</v>
      </c>
      <c r="G7" s="5" t="s">
        <v>248</v>
      </c>
      <c r="H7" s="5">
        <v>1</v>
      </c>
      <c r="I7" s="5">
        <v>100</v>
      </c>
      <c r="J7" s="5" t="s">
        <v>267</v>
      </c>
      <c r="K7" s="37"/>
      <c r="L7" s="3"/>
      <c r="M7" s="3"/>
    </row>
    <row r="8" spans="2:13" ht="30" customHeight="1">
      <c r="B8" s="5">
        <v>4</v>
      </c>
      <c r="C8" s="31" t="s">
        <v>54</v>
      </c>
      <c r="D8" s="2" t="s">
        <v>253</v>
      </c>
      <c r="E8" s="5" t="s">
        <v>254</v>
      </c>
      <c r="F8" s="5" t="s">
        <v>248</v>
      </c>
      <c r="G8" s="5" t="s">
        <v>248</v>
      </c>
      <c r="H8" s="5">
        <v>1</v>
      </c>
      <c r="I8" s="5">
        <v>50</v>
      </c>
      <c r="J8" s="5" t="s">
        <v>268</v>
      </c>
      <c r="K8" s="37"/>
      <c r="L8" s="3"/>
      <c r="M8" s="3"/>
    </row>
    <row r="9" spans="2:13" ht="30" customHeight="1">
      <c r="B9" s="5">
        <v>5</v>
      </c>
      <c r="C9" s="32" t="s">
        <v>55</v>
      </c>
      <c r="D9" s="2" t="s">
        <v>255</v>
      </c>
      <c r="E9" s="5" t="s">
        <v>247</v>
      </c>
      <c r="F9" s="5" t="s">
        <v>256</v>
      </c>
      <c r="G9" s="5" t="s">
        <v>256</v>
      </c>
      <c r="H9" s="5">
        <v>1</v>
      </c>
      <c r="I9" s="5">
        <v>0</v>
      </c>
      <c r="J9" s="5" t="s">
        <v>249</v>
      </c>
      <c r="K9" s="3"/>
      <c r="L9" s="37"/>
      <c r="M9" s="3"/>
    </row>
    <row r="10" spans="2:13" ht="30" customHeight="1">
      <c r="B10" s="5">
        <v>6</v>
      </c>
      <c r="C10" s="32" t="s">
        <v>55</v>
      </c>
      <c r="D10" s="2" t="s">
        <v>257</v>
      </c>
      <c r="E10" s="5" t="s">
        <v>247</v>
      </c>
      <c r="F10" s="5" t="s">
        <v>256</v>
      </c>
      <c r="G10" s="5" t="s">
        <v>256</v>
      </c>
      <c r="H10" s="5">
        <v>1</v>
      </c>
      <c r="I10" s="5">
        <v>0</v>
      </c>
      <c r="J10" s="5" t="s">
        <v>249</v>
      </c>
      <c r="K10" s="3"/>
      <c r="L10" s="37"/>
      <c r="M10" s="3"/>
    </row>
    <row r="11" spans="2:13" ht="30" customHeight="1">
      <c r="B11" s="5">
        <v>7</v>
      </c>
      <c r="C11" s="32" t="s">
        <v>55</v>
      </c>
      <c r="D11" s="2" t="s">
        <v>258</v>
      </c>
      <c r="E11" s="5" t="s">
        <v>252</v>
      </c>
      <c r="F11" s="5" t="s">
        <v>256</v>
      </c>
      <c r="G11" s="5" t="s">
        <v>256</v>
      </c>
      <c r="H11" s="5">
        <v>1</v>
      </c>
      <c r="I11" s="5">
        <v>0</v>
      </c>
      <c r="J11" s="5" t="s">
        <v>249</v>
      </c>
      <c r="K11" s="3"/>
      <c r="L11" s="37"/>
      <c r="M11" s="3"/>
    </row>
    <row r="12" spans="2:13" ht="30" customHeight="1">
      <c r="B12" s="5">
        <v>8</v>
      </c>
      <c r="C12" s="32" t="s">
        <v>55</v>
      </c>
      <c r="D12" s="2" t="s">
        <v>259</v>
      </c>
      <c r="E12" s="5" t="s">
        <v>254</v>
      </c>
      <c r="F12" s="5" t="s">
        <v>256</v>
      </c>
      <c r="G12" s="5" t="s">
        <v>256</v>
      </c>
      <c r="H12" s="5">
        <v>1</v>
      </c>
      <c r="I12" s="5">
        <v>0</v>
      </c>
      <c r="J12" s="5" t="s">
        <v>249</v>
      </c>
      <c r="K12" s="3"/>
      <c r="L12" s="37"/>
      <c r="M12" s="3"/>
    </row>
    <row r="13" spans="2:13" ht="30" customHeight="1">
      <c r="B13" s="5">
        <v>9</v>
      </c>
      <c r="C13" s="32" t="s">
        <v>55</v>
      </c>
      <c r="D13" s="2" t="s">
        <v>260</v>
      </c>
      <c r="E13" s="5" t="s">
        <v>247</v>
      </c>
      <c r="F13" s="5" t="s">
        <v>256</v>
      </c>
      <c r="G13" s="5" t="s">
        <v>256</v>
      </c>
      <c r="H13" s="5">
        <v>1</v>
      </c>
      <c r="I13" s="5">
        <v>0</v>
      </c>
      <c r="J13" s="5" t="s">
        <v>249</v>
      </c>
      <c r="K13" s="3"/>
      <c r="L13" s="37"/>
      <c r="M13" s="3"/>
    </row>
    <row r="14" spans="2:13" ht="30" customHeight="1">
      <c r="B14" s="5">
        <v>10</v>
      </c>
      <c r="C14" s="36" t="s">
        <v>56</v>
      </c>
      <c r="D14" s="2" t="s">
        <v>261</v>
      </c>
      <c r="E14" s="5" t="s">
        <v>247</v>
      </c>
      <c r="F14" s="5" t="s">
        <v>262</v>
      </c>
      <c r="G14" s="5" t="s">
        <v>262</v>
      </c>
      <c r="H14" s="5">
        <v>1</v>
      </c>
      <c r="I14" s="5">
        <v>0</v>
      </c>
      <c r="J14" s="5" t="s">
        <v>249</v>
      </c>
      <c r="K14" s="3"/>
      <c r="L14" s="3"/>
      <c r="M14" s="37"/>
    </row>
    <row r="15" spans="2:13" ht="30" customHeight="1">
      <c r="B15" s="5">
        <v>11</v>
      </c>
      <c r="C15" s="35" t="s">
        <v>57</v>
      </c>
      <c r="D15" s="2" t="s">
        <v>263</v>
      </c>
      <c r="E15" s="5" t="s">
        <v>247</v>
      </c>
      <c r="F15" s="5" t="s">
        <v>262</v>
      </c>
      <c r="G15" s="5" t="s">
        <v>262</v>
      </c>
      <c r="H15" s="5">
        <v>1</v>
      </c>
      <c r="I15" s="5">
        <v>0</v>
      </c>
      <c r="J15" s="5" t="s">
        <v>249</v>
      </c>
      <c r="K15" s="3"/>
      <c r="L15" s="3"/>
      <c r="M15" s="37"/>
    </row>
    <row r="16" spans="2:13" ht="30" customHeight="1">
      <c r="B16" s="5">
        <v>12</v>
      </c>
      <c r="C16" s="34" t="s">
        <v>58</v>
      </c>
      <c r="D16" s="2" t="s">
        <v>264</v>
      </c>
      <c r="E16" s="5" t="s">
        <v>247</v>
      </c>
      <c r="F16" s="5" t="s">
        <v>262</v>
      </c>
      <c r="G16" s="5" t="s">
        <v>262</v>
      </c>
      <c r="H16" s="5">
        <v>1</v>
      </c>
      <c r="I16" s="5">
        <v>0</v>
      </c>
      <c r="J16" s="5" t="s">
        <v>249</v>
      </c>
      <c r="K16" s="3"/>
      <c r="L16" s="3"/>
      <c r="M16" s="37"/>
    </row>
    <row r="17" spans="2:13" ht="30" customHeight="1">
      <c r="B17" s="5">
        <v>13</v>
      </c>
      <c r="C17" s="33" t="s">
        <v>59</v>
      </c>
      <c r="D17" s="2" t="s">
        <v>265</v>
      </c>
      <c r="E17" s="5" t="s">
        <v>247</v>
      </c>
      <c r="F17" s="5" t="s">
        <v>262</v>
      </c>
      <c r="G17" s="5" t="s">
        <v>262</v>
      </c>
      <c r="H17" s="5">
        <v>1</v>
      </c>
      <c r="I17" s="5">
        <v>0</v>
      </c>
      <c r="J17" s="5" t="s">
        <v>249</v>
      </c>
      <c r="K17" s="3"/>
      <c r="L17" s="3"/>
      <c r="M17" s="37"/>
    </row>
    <row r="18" spans="2:13" ht="30" customHeight="1">
      <c r="B18" s="5">
        <v>14</v>
      </c>
      <c r="C18" s="33" t="s">
        <v>59</v>
      </c>
      <c r="D18" s="2" t="s">
        <v>266</v>
      </c>
      <c r="E18" s="5" t="s">
        <v>247</v>
      </c>
      <c r="F18" s="5" t="s">
        <v>262</v>
      </c>
      <c r="G18" s="5" t="s">
        <v>262</v>
      </c>
      <c r="H18" s="5">
        <v>1</v>
      </c>
      <c r="I18" s="5">
        <v>0</v>
      </c>
      <c r="J18" s="5" t="s">
        <v>249</v>
      </c>
      <c r="K18" s="3"/>
      <c r="L18" s="3"/>
      <c r="M18" s="37"/>
    </row>
    <row r="20" spans="2:13" ht="15" customHeight="1">
      <c r="B20" s="85" t="s">
        <v>130</v>
      </c>
      <c r="C20" s="86"/>
    </row>
    <row r="21" spans="2:13" ht="15" customHeight="1">
      <c r="B21" s="87" t="s">
        <v>53</v>
      </c>
      <c r="C21" s="88"/>
    </row>
    <row r="22" spans="2:13" ht="15" customHeight="1">
      <c r="B22" s="89" t="s">
        <v>54</v>
      </c>
      <c r="C22" s="90"/>
    </row>
    <row r="23" spans="2:13" ht="15" customHeight="1">
      <c r="B23" s="73" t="s">
        <v>55</v>
      </c>
      <c r="C23" s="74"/>
    </row>
    <row r="24" spans="2:13" ht="15" customHeight="1">
      <c r="B24" s="75" t="s">
        <v>56</v>
      </c>
      <c r="C24" s="76"/>
    </row>
    <row r="25" spans="2:13" ht="15" customHeight="1">
      <c r="B25" s="77" t="s">
        <v>57</v>
      </c>
      <c r="C25" s="78"/>
    </row>
    <row r="26" spans="2:13" ht="15" customHeight="1">
      <c r="B26" s="79" t="s">
        <v>58</v>
      </c>
      <c r="C26" s="80"/>
    </row>
    <row r="27" spans="2:13" ht="15" customHeight="1">
      <c r="B27" s="81" t="s">
        <v>59</v>
      </c>
      <c r="C27" s="82"/>
    </row>
    <row r="28" spans="2:13" ht="15" customHeight="1">
      <c r="B28" s="71" t="s">
        <v>60</v>
      </c>
      <c r="C28" s="72"/>
    </row>
  </sheetData>
  <mergeCells count="11">
    <mergeCell ref="B3:M3"/>
    <mergeCell ref="B2:M2"/>
    <mergeCell ref="B20:C20"/>
    <mergeCell ref="B21:C21"/>
    <mergeCell ref="B22:C22"/>
    <mergeCell ref="B28:C28"/>
    <mergeCell ref="B23:C23"/>
    <mergeCell ref="B24:C24"/>
    <mergeCell ref="B25:C25"/>
    <mergeCell ref="B26:C26"/>
    <mergeCell ref="B27:C27"/>
  </mergeCells>
  <phoneticPr fontId="16" type="noConversion"/>
  <conditionalFormatting sqref="K6:M18 L5:M5">
    <cfRule type="expression" dxfId="1" priority="4">
      <formula>AND(K$4&gt;=$F5,K$4&lt;=$G5)</formula>
    </cfRule>
  </conditionalFormatting>
  <conditionalFormatting sqref="K5">
    <cfRule type="expression" dxfId="0" priority="1">
      <formula>AND(K$4&gt;=$F5,K$4&lt;=$G5)</formula>
    </cfRule>
  </conditionalFormatting>
  <dataValidations count="2">
    <dataValidation type="list" allowBlank="1" sqref="C5:C18" xr:uid="{00000000-0002-0000-0500-000000000000}">
      <formula1>"기획,설계,개발,배포,테스트,문서화,발표준비"</formula1>
      <formula2>0</formula2>
    </dataValidation>
    <dataValidation type="list" allowBlank="1" sqref="J5:J1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49" t="s">
        <v>61</v>
      </c>
      <c r="C2" s="50"/>
    </row>
    <row r="3" spans="2:3" ht="19.5" customHeight="1">
      <c r="B3" s="58" t="s">
        <v>62</v>
      </c>
      <c r="C3" s="41"/>
    </row>
    <row r="5" spans="2:3" ht="19.5" customHeight="1">
      <c r="B5" s="6" t="s">
        <v>63</v>
      </c>
      <c r="C5" s="6" t="s">
        <v>64</v>
      </c>
    </row>
    <row r="6" spans="2:3" ht="30" customHeight="1">
      <c r="B6" s="4" t="s">
        <v>65</v>
      </c>
      <c r="C6" s="2" t="s">
        <v>66</v>
      </c>
    </row>
    <row r="7" spans="2:3" ht="30" customHeight="1">
      <c r="B7" s="4" t="s">
        <v>67</v>
      </c>
      <c r="C7" s="2" t="s">
        <v>68</v>
      </c>
    </row>
    <row r="8" spans="2:3" ht="30" customHeight="1">
      <c r="B8" s="4" t="s">
        <v>69</v>
      </c>
      <c r="C8" s="2" t="s">
        <v>70</v>
      </c>
    </row>
    <row r="9" spans="2:3" ht="30" customHeight="1">
      <c r="B9" s="1" t="s">
        <v>71</v>
      </c>
      <c r="C9" s="2" t="s">
        <v>72</v>
      </c>
    </row>
    <row r="10" spans="2:3" ht="30" customHeight="1">
      <c r="B10" s="4" t="s">
        <v>73</v>
      </c>
      <c r="C10" s="2" t="s">
        <v>74</v>
      </c>
    </row>
    <row r="11" spans="2:3" ht="30" customHeight="1">
      <c r="B11" s="4" t="s">
        <v>75</v>
      </c>
      <c r="C11" s="2" t="s">
        <v>76</v>
      </c>
    </row>
    <row r="12" spans="2:3" ht="30" customHeight="1">
      <c r="B12" s="4" t="s">
        <v>77</v>
      </c>
      <c r="C12" s="2" t="s">
        <v>78</v>
      </c>
    </row>
    <row r="13" spans="2:3" ht="30" customHeight="1">
      <c r="B13" s="1" t="s">
        <v>79</v>
      </c>
      <c r="C13" s="2" t="s">
        <v>80</v>
      </c>
    </row>
    <row r="14" spans="2:3" ht="30" customHeight="1">
      <c r="B14" s="4" t="s">
        <v>81</v>
      </c>
      <c r="C14" s="2" t="s">
        <v>82</v>
      </c>
    </row>
    <row r="15" spans="2:3" ht="30" customHeight="1">
      <c r="B15" s="1" t="s">
        <v>83</v>
      </c>
      <c r="C15" s="2" t="s">
        <v>84</v>
      </c>
    </row>
    <row r="16" spans="2:3" ht="30" customHeight="1">
      <c r="B16" s="1" t="s">
        <v>85</v>
      </c>
      <c r="C16" s="2" t="s">
        <v>86</v>
      </c>
    </row>
    <row r="17" spans="2:3" ht="30" customHeight="1">
      <c r="B17" s="4" t="s">
        <v>87</v>
      </c>
      <c r="C17" s="2" t="s">
        <v>88</v>
      </c>
    </row>
    <row r="18" spans="2:3" ht="30" customHeight="1">
      <c r="B18" s="1" t="s">
        <v>89</v>
      </c>
      <c r="C18" s="2" t="s">
        <v>90</v>
      </c>
    </row>
    <row r="19" spans="2:3" ht="30" customHeight="1">
      <c r="B19" s="1" t="s">
        <v>91</v>
      </c>
      <c r="C19" s="2" t="s">
        <v>92</v>
      </c>
    </row>
    <row r="20" spans="2:3" ht="30" customHeight="1">
      <c r="B20" s="1" t="s">
        <v>93</v>
      </c>
      <c r="C20" s="2" t="s">
        <v>94</v>
      </c>
    </row>
    <row r="21" spans="2:3" ht="30" customHeight="1">
      <c r="B21" s="1" t="s">
        <v>95</v>
      </c>
      <c r="C21" s="3" t="s">
        <v>96</v>
      </c>
    </row>
    <row r="22" spans="2:3" ht="30" customHeight="1">
      <c r="B22" s="1" t="s">
        <v>97</v>
      </c>
      <c r="C22" s="2" t="s">
        <v>98</v>
      </c>
    </row>
    <row r="23" spans="2:3" ht="30" customHeight="1">
      <c r="B23" s="4" t="s">
        <v>99</v>
      </c>
      <c r="C23" s="2" t="s">
        <v>100</v>
      </c>
    </row>
    <row r="24" spans="2:3" ht="30" customHeight="1">
      <c r="B24" s="4" t="s">
        <v>101</v>
      </c>
      <c r="C24" s="2" t="s">
        <v>102</v>
      </c>
    </row>
    <row r="25" spans="2:3" ht="30" customHeight="1">
      <c r="B25" s="4" t="s">
        <v>103</v>
      </c>
      <c r="C25" s="2" t="s">
        <v>104</v>
      </c>
    </row>
  </sheetData>
  <mergeCells count="2">
    <mergeCell ref="B3:C3"/>
    <mergeCell ref="B2:C2"/>
  </mergeCells>
  <phoneticPr fontId="16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2026-07-14T07:19:55Z</dcterms:modified>
  <dc:language>en-US</dc:language>
</cp:coreProperties>
</file>